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end &amp; Formulas" sheetId="1" state="visible" r:id="rId3"/>
    <sheet name="LRP ROI - 20 Person Node" sheetId="2" state="visible" r:id="rId4"/>
    <sheet name="Marcus - GAPS Pipeline" sheetId="3" state="visible" r:id="rId5"/>
    <sheet name="Marcus - HMA (CORRECTED)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<sst xmlns="http://schemas.openxmlformats.org/spreadsheetml/2006/main" count="279" uniqueCount="247">
  <si>
    <t xml:space="preserve">GSRT / HALO — MATHEMATICS LEGEND</t>
  </si>
  <si>
    <t xml:space="preserve">Source of record: GSRT_Value_Guide_v4.docx (Part A) and __GSRT_HALO_Canon_Reference.docx — do not cite figures from Algebraic_formulas.docx or LHP_COSTS_FORMULA.docx (deprecated, no Cs multiplier).</t>
  </si>
  <si>
    <t xml:space="preserve">CORE FORMULAS</t>
  </si>
  <si>
    <t xml:space="preserve">Formula</t>
  </si>
  <si>
    <t xml:space="preserve">Definition</t>
  </si>
  <si>
    <t xml:space="preserve">Notes</t>
  </si>
  <si>
    <t xml:space="preserve">Current Cost</t>
  </si>
  <si>
    <t xml:space="preserve">(t + s + p + h + c) x n</t>
  </si>
  <si>
    <t xml:space="preserve">n = number of people in the cohort</t>
  </si>
  <si>
    <t xml:space="preserve">Projected Cost</t>
  </si>
  <si>
    <t xml:space="preserve">(t'+s'+p'+h'+c') x n  =  Current Cost x (1 − r)</t>
  </si>
  <si>
    <t xml:space="preserve">r = reduction rate. 25% in the worked example is a hypothesis; replace with measured reduction</t>
  </si>
  <si>
    <t xml:space="preserve">ΔCost</t>
  </si>
  <si>
    <t xml:space="preserve">current cost − Projected Cost</t>
  </si>
  <si>
    <t xml:space="preserve">Annual realized savings</t>
  </si>
  <si>
    <t xml:space="preserve">ROI</t>
  </si>
  <si>
    <t xml:space="preserve">δcost ÷ Programme Cost</t>
  </si>
  <si>
    <t xml:space="preserve">$ saved per $1 invested (gross). Net = (ΔCost − cost) ÷ cost</t>
  </si>
  <si>
    <t xml:space="preserve">W (Human Value)</t>
  </si>
  <si>
    <t xml:space="preserve">(r+b+n+v+m+gv+fe+fm) x cs</t>
  </si>
  <si>
    <t xml:space="preserve">REQUIRED: Cs multiplier. Bare sum with no Cs is the deprecated legacy formula — never cite.</t>
  </si>
  <si>
    <t xml:space="preserve">Cs (Secure Connection)</t>
  </si>
  <si>
    <t xml:space="preserve">0.8 Disrupted / 1.0 Developing / 1.2 Secure</t>
  </si>
  <si>
    <t xml:space="preserve">Multiplies entire W score. A 20% swing at every stage.</t>
  </si>
  <si>
    <t xml:space="preserve">Total Impact</t>
  </si>
  <si>
    <t xml:space="preserve">(δcost + gm) + w</t>
  </si>
  <si>
    <t xml:space="preserve">Gm = Guest Monetary Contribution. NEVER sum $ and W in a single number — this expression keeps them as two addends, reported together, not blended into one unit.</t>
  </si>
  <si>
    <t xml:space="preserve">10-Year Value</t>
  </si>
  <si>
    <t xml:space="preserve">(δcost x 10) + (w x 10) + (δcost x srf)</t>
  </si>
  <si>
    <t xml:space="preserve">SRF must be stated whenever cited. Without SRF: ΔCost x 10</t>
  </si>
  <si>
    <t xml:space="preserve">E_ab (Burnout Exposure)</t>
  </si>
  <si>
    <t xml:space="preserve">(w x t_r x $93,000) + (s_d x w_d x w) + (a_r x a_c) + m_i</t>
  </si>
  <si>
    <t xml:space="preserve">Cost of doing nothing. A DIFFERENT ROI lens (avoided-exposure) than ΔCost/ROI (realized-savings). Never blend the two ratios.</t>
  </si>
  <si>
    <t xml:space="preserve">TSB (Total Societal Burden)</t>
  </si>
  <si>
    <t xml:space="preserve">$120,0 ÷ (W ÷ 25)</t>
  </si>
  <si>
    <t xml:space="preserve">Used in the Marcus HMA pipeline to translate W into annual public cost.</t>
  </si>
  <si>
    <t xml:space="preserve">VARIABLE DEFINITIONS (Cost Model: T S P H C)</t>
  </si>
  <si>
    <t xml:space="preserve">Variable</t>
  </si>
  <si>
    <t xml:space="preserve">Meaning</t>
  </si>
  <si>
    <t xml:space="preserve">Observed Floor Default (per person)</t>
  </si>
  <si>
    <t xml:space="preserve">T</t>
  </si>
  <si>
    <t xml:space="preserve">Turnover cost per employee</t>
  </si>
  <si>
    <t xml:space="preserve">$10,000</t>
  </si>
  <si>
    <t xml:space="preserve">S</t>
  </si>
  <si>
    <t xml:space="preserve">Sick day cost per employee</t>
  </si>
  <si>
    <t xml:space="preserve">$800</t>
  </si>
  <si>
    <t xml:space="preserve">P</t>
  </si>
  <si>
    <t xml:space="preserve">Poor performance / presenteeism cost</t>
  </si>
  <si>
    <t xml:space="preserve">$1,500</t>
  </si>
  <si>
    <t xml:space="preserve">H</t>
  </si>
  <si>
    <t xml:space="preserve">Healthcare cost (stress-related)</t>
  </si>
  <si>
    <t xml:space="preserve">$1,000</t>
  </si>
  <si>
    <t xml:space="preserve">C</t>
  </si>
  <si>
    <t xml:space="preserve">Client impact cost (errors, complaints)</t>
  </si>
  <si>
    <t xml:space="preserve">$2,000</t>
  </si>
  <si>
    <t xml:space="preserve">VARIABLE DEFINITIONS (Human Value: W sub-scores, 0-10 each)</t>
  </si>
  <si>
    <t xml:space="preserve">R</t>
  </si>
  <si>
    <t xml:space="preserve">Resilience Index</t>
  </si>
  <si>
    <t xml:space="preserve">B</t>
  </si>
  <si>
    <t xml:space="preserve">Boundary Clarity Score</t>
  </si>
  <si>
    <t xml:space="preserve">N</t>
  </si>
  <si>
    <t xml:space="preserve">Neurochemical Balance Factor (D.O.S.E. composite)</t>
  </si>
  <si>
    <t xml:space="preserve">V</t>
  </si>
  <si>
    <t xml:space="preserve">Virtue Value (integrity, accountability)</t>
  </si>
  <si>
    <t xml:space="preserve">M</t>
  </si>
  <si>
    <t xml:space="preserve">Meaning Quotient (purpose, hope)</t>
  </si>
  <si>
    <t xml:space="preserve">Gv</t>
  </si>
  <si>
    <t xml:space="preserve">Guest Virtue Score (prosocial contribution)</t>
  </si>
  <si>
    <t xml:space="preserve">Fe</t>
  </si>
  <si>
    <t xml:space="preserve">Emotional Satisfaction Index</t>
  </si>
  <si>
    <t xml:space="preserve">Fm</t>
  </si>
  <si>
    <t xml:space="preserve">Moral Alignment Score</t>
  </si>
  <si>
    <t xml:space="preserve">Cs</t>
  </si>
  <si>
    <t xml:space="preserve">Secure Connection Multiplier — 0.8 / 1.0 / 1.2</t>
  </si>
  <si>
    <t xml:space="preserve">HARD RULES — NEVER BLEND</t>
  </si>
  <si>
    <t xml:space="preserve">⚠</t>
  </si>
  <si>
    <t xml:space="preserve">Dollars and Sovereign Units (W points) are never summed into one number.</t>
  </si>
  <si>
    <t xml:space="preserve">Realized-savings ROI ($8.28/$1) and avoided-exposure ROI (49.4x) are two different lenses — never blended.</t>
  </si>
  <si>
    <t xml:space="preserve">Observed Floor and Conservative Floor tracks are never blended in one document — state which track is in use.</t>
  </si>
  <si>
    <t xml:space="preserve">$15,300 is the canonical per-worker figure. $23,000 is a separate MHRC/Canada Life benchmark — cite it only by name, never blended with $15,300.</t>
  </si>
  <si>
    <t xml:space="preserve">The $3.27/$1 'Harvard meta-analysis' figure (LRP_Standard_Input_Values.docx) is UNSOURCED. Do not cite externally.</t>
  </si>
  <si>
    <t xml:space="preserve">LRP AGENCY MODEL — 20-PERSON NODE ROI</t>
  </si>
  <si>
    <t xml:space="preserve">Editable cells (yellow) are per-person cost inputs. Everything else recalculates automatically. Source: GSRT_Value_Guide_v4.docx Part A.1.</t>
  </si>
  <si>
    <t xml:space="preserve">INPUTS — PER PERSON, PER YEAR</t>
  </si>
  <si>
    <t xml:space="preserve">Observed Floor</t>
  </si>
  <si>
    <t xml:space="preserve">Conservative Floor (=Obs x 2/3)</t>
  </si>
  <si>
    <t xml:space="preserve">Description</t>
  </si>
  <si>
    <t xml:space="preserve">T — Turnover</t>
  </si>
  <si>
    <t xml:space="preserve">Cost of replacing one staff member</t>
  </si>
  <si>
    <t xml:space="preserve">S — Sick Days</t>
  </si>
  <si>
    <t xml:space="preserve">Stress-related absenteeism</t>
  </si>
  <si>
    <t xml:space="preserve">P — Poor Performance</t>
  </si>
  <si>
    <t xml:space="preserve">Presenteeism / productivity loss</t>
  </si>
  <si>
    <t xml:space="preserve">H — Healthcare</t>
  </si>
  <si>
    <t xml:space="preserve">Stress-related healthcare cost</t>
  </si>
  <si>
    <t xml:space="preserve">C — Client Impact</t>
  </si>
  <si>
    <t xml:space="preserve">Errors, complaints, service disruption</t>
  </si>
  <si>
    <t xml:space="preserve">n — Number of people in cohort</t>
  </si>
  <si>
    <t xml:space="preserve">Programme cost (actual delivery cost, does not scale with floor)</t>
  </si>
  <si>
    <t xml:space="preserve">r — Reduction rate (pilot hypothesis; replace with your measured reduction)</t>
  </si>
  <si>
    <t xml:space="preserve">SRF — Societal Ripple Factor</t>
  </si>
  <si>
    <t xml:space="preserve">SRF applied to Conservative floor (per Canon: 0 — ripple factor not extended to Conservative track)</t>
  </si>
  <si>
    <t xml:space="preserve">RESULTS</t>
  </si>
  <si>
    <t xml:space="preserve">Metric</t>
  </si>
  <si>
    <t xml:space="preserve">Conservative Floor</t>
  </si>
  <si>
    <t xml:space="preserve">Formula used</t>
  </si>
  <si>
    <t xml:space="preserve">(T+S+P+H+C) x n</t>
  </si>
  <si>
    <t xml:space="preserve">Projected Cost = Current × (1 − r)</t>
  </si>
  <si>
    <t xml:space="preserve">Current Cost x (1 − r)</t>
  </si>
  <si>
    <t xml:space="preserve">ΔCost (annual savings)</t>
  </si>
  <si>
    <t xml:space="preserve">Current − Projected</t>
  </si>
  <si>
    <t xml:space="preserve">ROI per $1 invested (gross: savings ÷ cost)</t>
  </si>
  <si>
    <t xml:space="preserve">ΔCost ÷ Programme Cost</t>
  </si>
  <si>
    <t xml:space="preserve">10-Year Value incl. SRF (state SRF whenever cited)</t>
  </si>
  <si>
    <t xml:space="preserve">(ΔCost x 10) + (ΔCost x SRF)</t>
  </si>
  <si>
    <t xml:space="preserve">Net ROI per $1 (after programme cost is repaid)</t>
  </si>
  <si>
    <t xml:space="preserve">(ΔCost − Programme Cost) ÷ Programme Cost</t>
  </si>
  <si>
    <t xml:space="preserve">Cross-check (Canon, Observed Floor): ΔCost $76,500 · ROI $8.28 · 10-yr $918,000</t>
  </si>
  <si>
    <t xml:space="preserve">Cross-check (Canon, Conservative Floor): ΔCost $51,000 · ROI $5.52 · 10-yr $510,000</t>
  </si>
  <si>
    <t xml:space="preserve">10-Year Value with NO ripple factor (ΔCost x 10)</t>
  </si>
  <si>
    <t xml:space="preserve">Use this figure unless SRF is stated and sourced</t>
  </si>
  <si>
    <t xml:space="preserve">BURNOUT EXPOSURE — E_ab (cost of doing nothing, Observed Floor)</t>
  </si>
  <si>
    <t xml:space="preserve">Input</t>
  </si>
  <si>
    <t xml:space="preserve">Value</t>
  </si>
  <si>
    <t xml:space="preserve">W (Total Workforce)</t>
  </si>
  <si>
    <t xml:space="preserve">Number of staff</t>
  </si>
  <si>
    <t xml:space="preserve">T_r (Turnover Rate)</t>
  </si>
  <si>
    <t xml:space="preserve">20% conservative</t>
  </si>
  <si>
    <t xml:space="preserve">S_d (Stress sick days)</t>
  </si>
  <si>
    <t xml:space="preserve">National average per worker</t>
  </si>
  <si>
    <t xml:space="preserve">W_d (Daily burdened wage)</t>
  </si>
  <si>
    <t xml:space="preserve">Daily wage = $62,000 ÷ 260 days (salary only; benefits left out, which keeps it conservative)</t>
  </si>
  <si>
    <t xml:space="preserve">A_r (Attrition/relapse events)</t>
  </si>
  <si>
    <t xml:space="preserve">Clients lost due to burnt-out staff (4 reproduces the canon $456,500)</t>
  </si>
  <si>
    <t xml:space="preserve">A_c (Client attrition cost)</t>
  </si>
  <si>
    <t xml:space="preserve">Per client lost</t>
  </si>
  <si>
    <t xml:space="preserve">M_i (Mental injury claim)</t>
  </si>
  <si>
    <t xml:space="preserve">Avg WSIB/insurance claim</t>
  </si>
  <si>
    <t xml:space="preserve">E_ab Total</t>
  </si>
  <si>
    <t xml:space="preserve">(W x T_r x $93,000) + (S_d x W_d x W) + (A_r x A_c) + M_i = $456,500. Exposure ceiling only: never used in the ROI.</t>
  </si>
  <si>
    <t xml:space="preserve">MARCUS STILLWATER — GAPS / MASH PIPELINE (Day 1 to Day 88)</t>
  </si>
  <si>
    <t xml:space="preserve">Composite clinical vignette. Source: CMEth_Stillwater_Assignment_Final-2v4.docx (graded case file) and GAPS_Marcus_Stillwater_Human_Value_White_Paper-1.docx. Theoretical projection — not from administered instruments. Pilot validation pending.</t>
  </si>
  <si>
    <t xml:space="preserve">SIX SIMULTANEOUS CRISES AT INTAKE (context, not scored directly)</t>
  </si>
  <si>
    <t xml:space="preserve">1. No Fixed Address — rotating shelters, no sleep architecture</t>
  </si>
  <si>
    <t xml:space="preserve">2. Active PAWS — cognitive fog, cravings, 6-24 month recalibration window</t>
  </si>
  <si>
    <t xml:space="preserve">3. Financial Collapse — $733/mo Ontario Works, no ID, no bank account</t>
  </si>
  <si>
    <t xml:space="preserve">4. Family Separation — daughter age 6, grandmother guardian</t>
  </si>
  <si>
    <t xml:space="preserve">5. Legal Mandate — parole condition, pre-contemplation stage</t>
  </si>
  <si>
    <t xml:space="preserve">6. No Sober Peer Architecture — social network entirely substance-organized</t>
  </si>
  <si>
    <t xml:space="preserve">INTAKE W SUB-SCORES — DAY 1 (May 18, 2026)</t>
  </si>
  <si>
    <t xml:space="preserve">Score (0-10)</t>
  </si>
  <si>
    <t xml:space="preserve">Clinical Justification</t>
  </si>
  <si>
    <t xml:space="preserve">R — Resilience</t>
  </si>
  <si>
    <t xml:space="preserve">Two prior treatment attempts ended at the discharge cliff; floor raised to 2 for demonstrated parole compliance</t>
  </si>
  <si>
    <t xml:space="preserve">B — Boundary Clarity</t>
  </si>
  <si>
    <t xml:space="preserve">Social network entirely substance-organized; no boundary architecture</t>
  </si>
  <si>
    <t xml:space="preserve">N — Neurochemical Balance</t>
  </si>
  <si>
    <t xml:space="preserve">Active PAWS across all four D.O.S.E. channels</t>
  </si>
  <si>
    <t xml:space="preserve">V — Virtue Value</t>
  </si>
  <si>
    <t xml:space="preserve">No violent/predatory history; honest about resistance at intake</t>
  </si>
  <si>
    <t xml:space="preserve">M — Meaning Quotient</t>
  </si>
  <si>
    <t xml:space="preserve">Paternal identity blocked by family court separation; fishing-rod sketch as evidence meaning is present but inaccessible</t>
  </si>
  <si>
    <t xml:space="preserve">Gv — Guest Virtue</t>
  </si>
  <si>
    <t xml:space="preserve">No peer community context; isolated by shelter rotation</t>
  </si>
  <si>
    <t xml:space="preserve">Fe — Emotional Satisfaction</t>
  </si>
  <si>
    <t xml:space="preserve">Flat affect, sleep-deprived, survival mode only</t>
  </si>
  <si>
    <t xml:space="preserve">Fm — Moral Alignment</t>
  </si>
  <si>
    <t xml:space="preserve">Three possession charges; some alignment shown by honoring parole despite resistance</t>
  </si>
  <si>
    <t xml:space="preserve">Cs — Secure Connection</t>
  </si>
  <si>
    <t xml:space="preserve">Disrupted — attachment disrupted at family of origin, two prior treatment relationships ended abruptly</t>
  </si>
  <si>
    <t xml:space="preserve">INTAKE W SCORE</t>
  </si>
  <si>
    <t xml:space="preserve">Canon/source cross-check: W = 11.2</t>
  </si>
  <si>
    <t xml:space="preserve">DISCHARGE W SUB-SCORES — DAY 88 (Aug 14, 2026, Pre-Discharge Readiness Review)</t>
  </si>
  <si>
    <t xml:space="preserve">Calm, grounded affect; one documented constructive conflict resolution; Day 45 PAWS crisis managed</t>
  </si>
  <si>
    <t xml:space="preserve">Peer leadership emerging; not yet fully consolidated</t>
  </si>
  <si>
    <t xml:space="preserve">All four D.O.S.E. channels active (bank stabilization task, campfire circle, mentor role, physical labour/sleep)</t>
  </si>
  <si>
    <t xml:space="preserve">Consistent attendance, peer leadership, constructive conflict resolution</t>
  </si>
  <si>
    <t xml:space="preserve">'I want my daughter to see me in that vest.' Family court documentation actively building</t>
  </si>
  <si>
    <t xml:space="preserve">Assigned lead mentor for incoming participants at Day 60</t>
  </si>
  <si>
    <t xml:space="preserve">Stable affect, improved sleep, genuine engagement documented</t>
  </si>
  <si>
    <t xml:space="preserve">88 days documented compliance; sobriety record compiled for family court</t>
  </si>
  <si>
    <t xml:space="preserve">Developing — 8+2 node is first stable peer community in Marcus's adult life; not yet secure</t>
  </si>
  <si>
    <t xml:space="preserve">DISCHARGE W SCORE (Day 88)</t>
  </si>
  <si>
    <t xml:space="preserve">Canon/source cross-check: W = 48.0</t>
  </si>
  <si>
    <t xml:space="preserve">MOVEMENT SUMMARY</t>
  </si>
  <si>
    <t xml:space="preserve">Note</t>
  </si>
  <si>
    <t xml:space="preserve">W movement (points)</t>
  </si>
  <si>
    <t xml:space="preserve">Percentage increase</t>
  </si>
  <si>
    <t xml:space="preserve">Source cross-check: 329%</t>
  </si>
  <si>
    <t xml:space="preserve">Target threshold (Day +90)</t>
  </si>
  <si>
    <t xml:space="preserve">Marcus is approaching, not yet at, threshold — honest reporting per source</t>
  </si>
  <si>
    <t xml:space="preserve">25% WORKER-PROXY ΔCOST (client-side, disclosed design constraint)</t>
  </si>
  <si>
    <t xml:space="preserve">Item</t>
  </si>
  <si>
    <t xml:space="preserve">T (Turnover)</t>
  </si>
  <si>
    <t xml:space="preserve">S (Sick)</t>
  </si>
  <si>
    <t xml:space="preserve">P (Performance)</t>
  </si>
  <si>
    <t xml:space="preserve">H (Healthcare)</t>
  </si>
  <si>
    <t xml:space="preserve">C (Client Impact)</t>
  </si>
  <si>
    <t xml:space="preserve">Sum x 25%</t>
  </si>
  <si>
    <t xml:space="preserve">Current Cost (conservative proxy) — cross-check $18,400</t>
  </si>
  <si>
    <t xml:space="preserve">Projected (25% further reduction)</t>
  </si>
  <si>
    <t xml:space="preserve">Cross-check $13,800</t>
  </si>
  <si>
    <t xml:space="preserve">ΔCost per person per year</t>
  </si>
  <si>
    <t xml:space="preserve">Cross-check $4,600. This is a disclosed design constraint, NOT a published equivalence figure.</t>
  </si>
  <si>
    <t xml:space="preserve">MARCUS STILLWATER — HMA PIPELINE, DEED TO GOLD (CORRECTED FIGURES)</t>
  </si>
  <si>
    <t xml:space="preserve">Source: HALO_Dual_Track_Simulation_CORRECTED.docx, Section A.1-A.3. GOLD tier corrected from the uncorrected W=85.0 still appearing in Schwab_GAPS_Journal_Expanded_2026.docx and GAPS_Marcus_Earthworks_White_Paper-1.docx — those two documents have NOT been updated with this correction. Use the figures on this tab, not those documents, until they are fixed.</t>
  </si>
  <si>
    <t xml:space="preserve">W SUB-SCORES BY STAGE (editable — yellow cells)</t>
  </si>
  <si>
    <t xml:space="preserve">Stage</t>
  </si>
  <si>
    <t xml:space="preserve">Sub-score sum</t>
  </si>
  <si>
    <t xml:space="preserve">W</t>
  </si>
  <si>
    <t xml:space="preserve">Tier / Colour</t>
  </si>
  <si>
    <t xml:space="preserve">DEED Entry (Year 0)</t>
  </si>
  <si>
    <t xml:space="preserve">WHITE</t>
  </si>
  <si>
    <t xml:space="preserve">Corrected: R=6 (carried from MASH discharge), not the stale R=2 in prior drafts</t>
  </si>
  <si>
    <t xml:space="preserve">MUSCLE Year 1</t>
  </si>
  <si>
    <t xml:space="preserve">GREEN</t>
  </si>
  <si>
    <t xml:space="preserve">Conservative. Day+90 target of 54 surpassed</t>
  </si>
  <si>
    <t xml:space="preserve">HEART Year 2</t>
  </si>
  <si>
    <t xml:space="preserve">BLUE</t>
  </si>
  <si>
    <t xml:space="preserve">Conservative. Pattern literacy demonstrated</t>
  </si>
  <si>
    <t xml:space="preserve">ANCHOR Year 3+</t>
  </si>
  <si>
    <t xml:space="preserve">BLACK</t>
  </si>
  <si>
    <t xml:space="preserve">Conservative. Cs = Secure. Mentoring active</t>
  </si>
  <si>
    <t xml:space="preserve">GOLD - Controller</t>
  </si>
  <si>
    <t xml:space="preserve">GOLD</t>
  </si>
  <si>
    <t xml:space="preserve">CORRECTED: sub-sum is 67, not the erroneous 67x... see note below</t>
  </si>
  <si>
    <t xml:space="preserve">Sub-score input cells (R,B,N,V,M,Gv,Fe,Fm) are in columns G-N of each stage row, matching the row above.</t>
  </si>
  <si>
    <t xml:space="preserve">GOLD-TIER CORRECTION — WHAT CHANGED AND WHY</t>
  </si>
  <si>
    <t xml:space="preserve">→</t>
  </si>
  <si>
    <t xml:space="preserve">Prior drafts (Schwab_GAPS_Journal_Expanded_2026.docx, GAPS_Marcus_Earthworks_White_Paper-1.docx) state W=85.0 at GOLD.</t>
  </si>
  <si>
    <t xml:space="preserve">Correct arithmetic: sub-score sum = 8+8+8+9+9+9+8+8 = 67. 67 x 1.2 = 80.4, NOT 85.0.</t>
  </si>
  <si>
    <t xml:space="preserve">This propagates downstream: TSB, TSB-reduction %, avoided-cost swing, and total W-movement % all changed.</t>
  </si>
  <si>
    <t xml:space="preserve">CORRECTED vs UNCORRECTED — SIDE BY SIDE</t>
  </si>
  <si>
    <t xml:space="preserve">Uncorrected (still in 2 docs)</t>
  </si>
  <si>
    <t xml:space="preserve">Corrected (this tab)</t>
  </si>
  <si>
    <t xml:space="preserve">GOLD W score</t>
  </si>
  <si>
    <t xml:space="preserve">85.0</t>
  </si>
  <si>
    <t xml:space="preserve">TSB at GOLD</t>
  </si>
  <si>
    <t xml:space="preserve">$35,300</t>
  </si>
  <si>
    <t xml:space="preserve">TSB reduction %</t>
  </si>
  <si>
    <t xml:space="preserve">71%</t>
  </si>
  <si>
    <t xml:space="preserve">Avoided-cost + productivity swing</t>
  </si>
  <si>
    <t xml:space="preserve">$150,000-$185,000</t>
  </si>
  <si>
    <t xml:space="preserve">Total W movement, intake to GOLD</t>
  </si>
  <si>
    <t xml:space="preserve">+73.8 (659%)</t>
  </si>
  <si>
    <t xml:space="preserve">IMPORTANT: the $185,000 figure is NOT Marcus-specific — it's the generic canonical MASH-White-Paper per-person swing figure. Marcus's own computed conservative-floor swing at GOLD is ≈$147,700, not $185,000. Do not conflate the two.</t>
  </si>
  <si>
    <t xml:space="preserve">NOTE (Oct 2026 audit): Cs 1.1 (Year 1) and 1.15 (Year 2) sit outside the locked set 0.8 / 1.0 / 1.2. Either add them to the canon as stated tiers or round to 1.0 / 1.2. TSB = $120,000 ÷ (W ÷ 25) is a designed inverse relation, not an empirical one, and puts W = 25 at $120,000; Marcus intake W = 11.2 would compute to $267,857.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</si>
</sst>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"/>
    <numFmt numFmtId="166" formatCode="0%"/>
    <numFmt numFmtId="167" formatCode="\$0.00"/>
    <numFmt numFmtId="168" formatCode="0.0"/>
    <numFmt numFmtId="169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i val="true"/>
      <sz val="11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C00000"/>
      <name val="Arial"/>
      <family val="0"/>
      <charset val="1"/>
    </font>
    <font>
      <i val="true"/>
      <sz val="11"/>
      <color rgb="FFC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6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60"/>
    <col collapsed="false" customWidth="true" hidden="false" outlineLevel="0" max="3" min="3" style="1" width="20"/>
  </cols>
  <sheetData>
    <row r="1" customFormat="false" ht="17.25" hidden="false" customHeight="true" outlineLevel="0" collapsed="false">
      <c r="A1" s="2" t="s">
        <v>0</v>
      </c>
    </row>
    <row r="2" customFormat="false" ht="30" hidden="false" customHeight="true" outlineLevel="0" collapsed="false">
      <c r="A2" s="3" t="s">
        <v>1</v>
      </c>
      <c r="B2" s="3"/>
      <c r="C2" s="3"/>
    </row>
    <row r="4" customFormat="false" ht="15" hidden="false" customHeight="true" outlineLevel="0" collapsed="false">
      <c r="A4" s="4" t="s">
        <v>2</v>
      </c>
      <c r="B4" s="4"/>
      <c r="C4" s="4"/>
    </row>
    <row r="5" customFormat="false" ht="15" hidden="false" customHeight="true" outlineLevel="0" collapsed="false">
      <c r="A5" s="5" t="s">
        <v>3</v>
      </c>
      <c r="B5" s="5" t="s">
        <v>4</v>
      </c>
      <c r="C5" s="5" t="s">
        <v>5</v>
      </c>
    </row>
    <row r="6" customFormat="false" ht="27.75" hidden="false" customHeight="true" outlineLevel="0" collapsed="false">
      <c r="A6" s="6" t="s">
        <v>6</v>
      </c>
      <c r="B6" s="7" t="s">
        <v>7</v>
      </c>
      <c r="C6" s="8" t="s">
        <v>8</v>
      </c>
    </row>
    <row r="7" customFormat="false" ht="27.75" hidden="false" customHeight="true" outlineLevel="0" collapsed="false">
      <c r="A7" s="6" t="s">
        <v>9</v>
      </c>
      <c r="B7" s="7" t="s">
        <v>10</v>
      </c>
      <c r="C7" s="8" t="s">
        <v>11</v>
      </c>
    </row>
    <row r="8" customFormat="false" ht="27.75" hidden="false" customHeight="true" outlineLevel="0" collapsed="false">
      <c r="A8" s="6" t="s">
        <v>12</v>
      </c>
      <c r="B8" s="7" t="s">
        <v>13</v>
      </c>
      <c r="C8" s="8" t="s">
        <v>14</v>
      </c>
    </row>
    <row r="9" customFormat="false" ht="27.75" hidden="false" customHeight="true" outlineLevel="0" collapsed="false">
      <c r="A9" s="6" t="s">
        <v>15</v>
      </c>
      <c r="B9" s="7" t="s">
        <v>16</v>
      </c>
      <c r="C9" s="8" t="s">
        <v>17</v>
      </c>
    </row>
    <row r="10" customFormat="false" ht="68.25" hidden="false" customHeight="true" outlineLevel="0" collapsed="false">
      <c r="A10" s="6" t="s">
        <v>18</v>
      </c>
      <c r="B10" s="7" t="s">
        <v>19</v>
      </c>
      <c r="C10" s="8" t="s">
        <v>20</v>
      </c>
    </row>
    <row r="11" customFormat="false" ht="41.25" hidden="false" customHeight="true" outlineLevel="0" collapsed="false">
      <c r="A11" s="6" t="s">
        <v>21</v>
      </c>
      <c r="B11" s="7" t="s">
        <v>22</v>
      </c>
      <c r="C11" s="8" t="s">
        <v>23</v>
      </c>
    </row>
    <row r="12" customFormat="false" ht="108.75" hidden="false" customHeight="true" outlineLevel="0" collapsed="false">
      <c r="A12" s="6" t="s">
        <v>24</v>
      </c>
      <c r="B12" s="7" t="s">
        <v>25</v>
      </c>
      <c r="C12" s="8" t="s">
        <v>26</v>
      </c>
    </row>
    <row r="13" customFormat="false" ht="41.25" hidden="false" customHeight="true" outlineLevel="0" collapsed="false">
      <c r="A13" s="6" t="s">
        <v>27</v>
      </c>
      <c r="B13" s="7" t="s">
        <v>28</v>
      </c>
      <c r="C13" s="8" t="s">
        <v>29</v>
      </c>
    </row>
    <row r="14" customFormat="false" ht="95.25" hidden="false" customHeight="true" outlineLevel="0" collapsed="false">
      <c r="A14" s="6" t="s">
        <v>30</v>
      </c>
      <c r="B14" s="7" t="s">
        <v>31</v>
      </c>
      <c r="C14" s="8" t="s">
        <v>32</v>
      </c>
    </row>
    <row r="15" customFormat="false" ht="54.75" hidden="false" customHeight="true" outlineLevel="0" collapsed="false">
      <c r="A15" s="6" t="s">
        <v>33</v>
      </c>
      <c r="B15" s="7" t="s">
        <v>34</v>
      </c>
      <c r="C15" s="8" t="s">
        <v>35</v>
      </c>
    </row>
    <row r="17" customFormat="false" ht="15" hidden="false" customHeight="true" outlineLevel="0" collapsed="false">
      <c r="A17" s="4" t="s">
        <v>36</v>
      </c>
      <c r="B17" s="4"/>
      <c r="C17" s="4"/>
    </row>
    <row r="18" customFormat="false" ht="15" hidden="false" customHeight="true" outlineLevel="0" collapsed="false">
      <c r="A18" s="5" t="s">
        <v>37</v>
      </c>
      <c r="B18" s="5" t="s">
        <v>38</v>
      </c>
      <c r="C18" s="5" t="s">
        <v>39</v>
      </c>
    </row>
    <row r="19" customFormat="false" ht="15" hidden="false" customHeight="true" outlineLevel="0" collapsed="false">
      <c r="A19" s="9" t="s">
        <v>40</v>
      </c>
      <c r="B19" s="10" t="s">
        <v>41</v>
      </c>
      <c r="C19" s="10" t="s">
        <v>42</v>
      </c>
    </row>
    <row r="20" customFormat="false" ht="15" hidden="false" customHeight="true" outlineLevel="0" collapsed="false">
      <c r="A20" s="9" t="s">
        <v>43</v>
      </c>
      <c r="B20" s="10" t="s">
        <v>44</v>
      </c>
      <c r="C20" s="10" t="s">
        <v>45</v>
      </c>
    </row>
    <row r="21" customFormat="false" ht="15" hidden="false" customHeight="true" outlineLevel="0" collapsed="false">
      <c r="A21" s="9" t="s">
        <v>46</v>
      </c>
      <c r="B21" s="10" t="s">
        <v>47</v>
      </c>
      <c r="C21" s="10" t="s">
        <v>48</v>
      </c>
    </row>
    <row r="22" customFormat="false" ht="15" hidden="false" customHeight="true" outlineLevel="0" collapsed="false">
      <c r="A22" s="9" t="s">
        <v>49</v>
      </c>
      <c r="B22" s="10" t="s">
        <v>50</v>
      </c>
      <c r="C22" s="10" t="s">
        <v>51</v>
      </c>
    </row>
    <row r="23" customFormat="false" ht="15" hidden="false" customHeight="true" outlineLevel="0" collapsed="false">
      <c r="A23" s="9" t="s">
        <v>52</v>
      </c>
      <c r="B23" s="10" t="s">
        <v>53</v>
      </c>
      <c r="C23" s="10" t="s">
        <v>54</v>
      </c>
    </row>
    <row r="25" customFormat="false" ht="15" hidden="false" customHeight="true" outlineLevel="0" collapsed="false">
      <c r="A25" s="4" t="s">
        <v>55</v>
      </c>
      <c r="B25" s="4"/>
      <c r="C25" s="4"/>
    </row>
    <row r="26" customFormat="false" ht="15" hidden="false" customHeight="true" outlineLevel="0" collapsed="false">
      <c r="A26" s="5" t="s">
        <v>37</v>
      </c>
      <c r="B26" s="5" t="s">
        <v>38</v>
      </c>
      <c r="C26" s="5"/>
    </row>
    <row r="27" customFormat="false" ht="15" hidden="false" customHeight="true" outlineLevel="0" collapsed="false">
      <c r="A27" s="9" t="s">
        <v>56</v>
      </c>
      <c r="B27" s="10" t="s">
        <v>57</v>
      </c>
      <c r="C27" s="10"/>
    </row>
    <row r="28" customFormat="false" ht="15" hidden="false" customHeight="true" outlineLevel="0" collapsed="false">
      <c r="A28" s="9" t="s">
        <v>58</v>
      </c>
      <c r="B28" s="10" t="s">
        <v>59</v>
      </c>
      <c r="C28" s="10"/>
    </row>
    <row r="29" customFormat="false" ht="15" hidden="false" customHeight="true" outlineLevel="0" collapsed="false">
      <c r="A29" s="9" t="s">
        <v>60</v>
      </c>
      <c r="B29" s="10" t="s">
        <v>61</v>
      </c>
      <c r="C29" s="10"/>
    </row>
    <row r="30" customFormat="false" ht="15" hidden="false" customHeight="true" outlineLevel="0" collapsed="false">
      <c r="A30" s="9" t="s">
        <v>62</v>
      </c>
      <c r="B30" s="10" t="s">
        <v>63</v>
      </c>
      <c r="C30" s="10"/>
    </row>
    <row r="31" customFormat="false" ht="15" hidden="false" customHeight="true" outlineLevel="0" collapsed="false">
      <c r="A31" s="9" t="s">
        <v>64</v>
      </c>
      <c r="B31" s="10" t="s">
        <v>65</v>
      </c>
      <c r="C31" s="10"/>
    </row>
    <row r="32" customFormat="false" ht="15" hidden="false" customHeight="true" outlineLevel="0" collapsed="false">
      <c r="A32" s="9" t="s">
        <v>66</v>
      </c>
      <c r="B32" s="10" t="s">
        <v>67</v>
      </c>
      <c r="C32" s="10"/>
    </row>
    <row r="33" customFormat="false" ht="15" hidden="false" customHeight="true" outlineLevel="0" collapsed="false">
      <c r="A33" s="9" t="s">
        <v>68</v>
      </c>
      <c r="B33" s="10" t="s">
        <v>69</v>
      </c>
      <c r="C33" s="10"/>
    </row>
    <row r="34" customFormat="false" ht="15" hidden="false" customHeight="true" outlineLevel="0" collapsed="false">
      <c r="A34" s="9" t="s">
        <v>70</v>
      </c>
      <c r="B34" s="10" t="s">
        <v>71</v>
      </c>
      <c r="C34" s="10"/>
    </row>
    <row r="35" customFormat="false" ht="15" hidden="false" customHeight="true" outlineLevel="0" collapsed="false">
      <c r="A35" s="9" t="s">
        <v>72</v>
      </c>
      <c r="B35" s="10" t="s">
        <v>73</v>
      </c>
      <c r="C35" s="10"/>
    </row>
    <row r="37" customFormat="false" ht="15" hidden="false" customHeight="true" outlineLevel="0" collapsed="false">
      <c r="A37" s="11" t="s">
        <v>74</v>
      </c>
      <c r="B37" s="11"/>
      <c r="C37" s="11"/>
    </row>
    <row r="38" customFormat="false" ht="15" hidden="false" customHeight="true" outlineLevel="0" collapsed="false">
      <c r="A38" s="12" t="s">
        <v>75</v>
      </c>
      <c r="B38" s="13" t="s">
        <v>76</v>
      </c>
      <c r="C38" s="13"/>
    </row>
    <row r="39" customFormat="false" ht="27.75" hidden="false" customHeight="true" outlineLevel="0" collapsed="false">
      <c r="A39" s="12" t="s">
        <v>75</v>
      </c>
      <c r="B39" s="13" t="s">
        <v>77</v>
      </c>
      <c r="C39" s="13"/>
    </row>
    <row r="40" customFormat="false" ht="27.75" hidden="false" customHeight="true" outlineLevel="0" collapsed="false">
      <c r="A40" s="12" t="s">
        <v>75</v>
      </c>
      <c r="B40" s="13" t="s">
        <v>78</v>
      </c>
      <c r="C40" s="13"/>
    </row>
    <row r="41" customFormat="false" ht="27.75" hidden="false" customHeight="true" outlineLevel="0" collapsed="false">
      <c r="A41" s="12" t="s">
        <v>75</v>
      </c>
      <c r="B41" s="13" t="s">
        <v>79</v>
      </c>
      <c r="C41" s="13"/>
    </row>
    <row r="42" customFormat="false" ht="27.75" hidden="false" customHeight="true" outlineLevel="0" collapsed="false">
      <c r="A42" s="12" t="s">
        <v>75</v>
      </c>
      <c r="B42" s="13" t="s">
        <v>80</v>
      </c>
      <c r="C42" s="13"/>
    </row>
  </sheetData>
  <mergeCells count="10">
    <mergeCell ref="A2:C2"/>
    <mergeCell ref="A4:C4"/>
    <mergeCell ref="A17:C17"/>
    <mergeCell ref="A25:C25"/>
    <mergeCell ref="A37:C37"/>
    <mergeCell ref="B38:C38"/>
    <mergeCell ref="B39:C39"/>
    <mergeCell ref="B40:C40"/>
    <mergeCell ref="B41:C41"/>
    <mergeCell ref="B42:C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6"/>
    <col collapsed="false" customWidth="true" hidden="false" outlineLevel="0" max="4" min="4" style="1" width="40"/>
  </cols>
  <sheetData>
    <row r="1" customFormat="false" ht="17.25" hidden="false" customHeight="true" outlineLevel="0" collapsed="false">
      <c r="A1" s="2" t="s">
        <v>81</v>
      </c>
    </row>
    <row r="2" customFormat="false" ht="27.75" hidden="false" customHeight="true" outlineLevel="0" collapsed="false">
      <c r="A2" s="3" t="s">
        <v>82</v>
      </c>
      <c r="B2" s="3"/>
      <c r="C2" s="3"/>
      <c r="D2" s="3"/>
    </row>
    <row r="4" customFormat="false" ht="15" hidden="false" customHeight="true" outlineLevel="0" collapsed="false">
      <c r="A4" s="4" t="s">
        <v>83</v>
      </c>
      <c r="B4" s="4"/>
      <c r="C4" s="4"/>
      <c r="D4" s="4"/>
    </row>
    <row r="5" customFormat="false" ht="15" hidden="false" customHeight="true" outlineLevel="0" collapsed="false">
      <c r="A5" s="5" t="s">
        <v>37</v>
      </c>
      <c r="B5" s="5" t="s">
        <v>84</v>
      </c>
      <c r="C5" s="5" t="s">
        <v>85</v>
      </c>
      <c r="D5" s="5" t="s">
        <v>86</v>
      </c>
    </row>
    <row r="6" customFormat="false" ht="15" hidden="false" customHeight="true" outlineLevel="0" collapsed="false">
      <c r="A6" s="9" t="s">
        <v>87</v>
      </c>
      <c r="B6" s="14" t="n">
        <v>10000</v>
      </c>
      <c r="C6" s="15" t="n">
        <f aca="false">B6*2/3</f>
        <v>6666.66666666667</v>
      </c>
      <c r="D6" s="8" t="s">
        <v>88</v>
      </c>
    </row>
    <row r="7" customFormat="false" ht="15" hidden="false" customHeight="true" outlineLevel="0" collapsed="false">
      <c r="A7" s="9" t="s">
        <v>89</v>
      </c>
      <c r="B7" s="14" t="n">
        <v>800</v>
      </c>
      <c r="C7" s="15" t="n">
        <f aca="false">B7*2/3</f>
        <v>533.333333333333</v>
      </c>
      <c r="D7" s="8" t="s">
        <v>90</v>
      </c>
    </row>
    <row r="8" customFormat="false" ht="15" hidden="false" customHeight="true" outlineLevel="0" collapsed="false">
      <c r="A8" s="9" t="s">
        <v>91</v>
      </c>
      <c r="B8" s="14" t="n">
        <v>1500</v>
      </c>
      <c r="C8" s="15" t="n">
        <f aca="false">B8*2/3</f>
        <v>1000</v>
      </c>
      <c r="D8" s="8" t="s">
        <v>92</v>
      </c>
    </row>
    <row r="9" customFormat="false" ht="15" hidden="false" customHeight="true" outlineLevel="0" collapsed="false">
      <c r="A9" s="9" t="s">
        <v>93</v>
      </c>
      <c r="B9" s="14" t="n">
        <v>1000</v>
      </c>
      <c r="C9" s="15" t="n">
        <f aca="false">B9*2/3</f>
        <v>666.666666666667</v>
      </c>
      <c r="D9" s="8" t="s">
        <v>94</v>
      </c>
    </row>
    <row r="10" customFormat="false" ht="15" hidden="false" customHeight="true" outlineLevel="0" collapsed="false">
      <c r="A10" s="9" t="s">
        <v>95</v>
      </c>
      <c r="B10" s="14" t="n">
        <v>2000</v>
      </c>
      <c r="C10" s="15" t="n">
        <f aca="false">B10*2/3</f>
        <v>1333.33333333333</v>
      </c>
      <c r="D10" s="8" t="s">
        <v>96</v>
      </c>
    </row>
    <row r="12" customFormat="false" ht="15" hidden="false" customHeight="true" outlineLevel="0" collapsed="false">
      <c r="A12" s="9" t="s">
        <v>97</v>
      </c>
      <c r="B12" s="16" t="n">
        <v>20</v>
      </c>
      <c r="C12" s="10"/>
      <c r="D12" s="10"/>
    </row>
    <row r="14" customFormat="false" ht="15" hidden="false" customHeight="true" outlineLevel="0" collapsed="false">
      <c r="A14" s="9" t="s">
        <v>98</v>
      </c>
      <c r="B14" s="14" t="n">
        <v>9238</v>
      </c>
      <c r="C14" s="15" t="n">
        <f aca="false">B14</f>
        <v>9238</v>
      </c>
      <c r="D14" s="10"/>
    </row>
    <row r="15" customFormat="false" ht="15" hidden="false" customHeight="false" outlineLevel="0" collapsed="false">
      <c r="A15" s="9" t="s">
        <v>99</v>
      </c>
      <c r="B15" s="17" t="n">
        <v>0.25</v>
      </c>
    </row>
    <row r="16" customFormat="false" ht="15" hidden="false" customHeight="true" outlineLevel="0" collapsed="false">
      <c r="A16" s="9" t="s">
        <v>100</v>
      </c>
      <c r="B16" s="16" t="n">
        <v>2</v>
      </c>
      <c r="C16" s="10"/>
      <c r="D16" s="10"/>
    </row>
    <row r="17" customFormat="false" ht="15" hidden="false" customHeight="true" outlineLevel="0" collapsed="false">
      <c r="A17" s="1" t="s">
        <v>101</v>
      </c>
      <c r="B17" s="18" t="n">
        <v>0</v>
      </c>
    </row>
    <row r="18" customFormat="false" ht="15" hidden="false" customHeight="true" outlineLevel="0" collapsed="false">
      <c r="A18" s="4" t="s">
        <v>102</v>
      </c>
      <c r="B18" s="4"/>
      <c r="C18" s="4"/>
      <c r="D18" s="4"/>
    </row>
    <row r="19" customFormat="false" ht="15" hidden="false" customHeight="true" outlineLevel="0" collapsed="false">
      <c r="A19" s="5" t="s">
        <v>103</v>
      </c>
      <c r="B19" s="5" t="s">
        <v>84</v>
      </c>
      <c r="C19" s="5" t="s">
        <v>104</v>
      </c>
      <c r="D19" s="5" t="s">
        <v>105</v>
      </c>
    </row>
    <row r="20" customFormat="false" ht="15" hidden="false" customHeight="true" outlineLevel="0" collapsed="false">
      <c r="A20" s="9" t="s">
        <v>6</v>
      </c>
      <c r="B20" s="15" t="n">
        <f aca="false">SUM(B6:B10)*B12</f>
        <v>306000</v>
      </c>
      <c r="C20" s="15" t="n">
        <f aca="false">SUM(C6:C10)*B12</f>
        <v>204000</v>
      </c>
      <c r="D20" s="10" t="s">
        <v>106</v>
      </c>
    </row>
    <row r="21" customFormat="false" ht="15" hidden="false" customHeight="true" outlineLevel="0" collapsed="false">
      <c r="A21" s="9" t="s">
        <v>107</v>
      </c>
      <c r="B21" s="15" t="n">
        <f aca="false">B20*(1-B15)</f>
        <v>229500</v>
      </c>
      <c r="C21" s="15" t="n">
        <f aca="false">C20*(1-B15)</f>
        <v>153000</v>
      </c>
      <c r="D21" s="10" t="s">
        <v>108</v>
      </c>
    </row>
    <row r="22" customFormat="false" ht="15" hidden="false" customHeight="true" outlineLevel="0" collapsed="false">
      <c r="A22" s="9" t="s">
        <v>109</v>
      </c>
      <c r="B22" s="19" t="n">
        <f aca="false">B20-B21</f>
        <v>76500</v>
      </c>
      <c r="C22" s="19" t="n">
        <f aca="false">C20-C21</f>
        <v>51000</v>
      </c>
      <c r="D22" s="10" t="s">
        <v>110</v>
      </c>
    </row>
    <row r="23" customFormat="false" ht="15" hidden="false" customHeight="true" outlineLevel="0" collapsed="false">
      <c r="A23" s="9" t="s">
        <v>111</v>
      </c>
      <c r="B23" s="20" t="n">
        <f aca="false">B22/B14</f>
        <v>8.28101320632172</v>
      </c>
      <c r="C23" s="20" t="n">
        <f aca="false">C22/C14</f>
        <v>5.52067547088114</v>
      </c>
      <c r="D23" s="10" t="s">
        <v>112</v>
      </c>
    </row>
    <row r="24" customFormat="false" ht="15" hidden="false" customHeight="true" outlineLevel="0" collapsed="false">
      <c r="A24" s="9" t="s">
        <v>113</v>
      </c>
      <c r="B24" s="15" t="n">
        <f aca="false">(B22*10)+(B22*B16)</f>
        <v>918000</v>
      </c>
      <c r="C24" s="15" t="n">
        <f aca="false">(C22*10)+(C22*B17)</f>
        <v>510000</v>
      </c>
      <c r="D24" s="10" t="s">
        <v>114</v>
      </c>
    </row>
    <row r="25" customFormat="false" ht="15" hidden="false" customHeight="false" outlineLevel="0" collapsed="false">
      <c r="A25" s="9" t="s">
        <v>115</v>
      </c>
      <c r="B25" s="20" t="n">
        <f aca="false">(B22-B14)/B14</f>
        <v>7.28101320632172</v>
      </c>
      <c r="C25" s="20" t="n">
        <f aca="false">(C22-C14)/C14</f>
        <v>4.52067547088114</v>
      </c>
      <c r="D25" s="10" t="s">
        <v>116</v>
      </c>
    </row>
    <row r="26" customFormat="false" ht="15" hidden="false" customHeight="true" outlineLevel="0" collapsed="false">
      <c r="A26" s="21" t="s">
        <v>117</v>
      </c>
      <c r="B26" s="21"/>
      <c r="C26" s="21"/>
      <c r="D26" s="21"/>
    </row>
    <row r="27" customFormat="false" ht="15" hidden="false" customHeight="true" outlineLevel="0" collapsed="false">
      <c r="A27" s="21" t="s">
        <v>118</v>
      </c>
      <c r="B27" s="21"/>
      <c r="C27" s="21"/>
      <c r="D27" s="21"/>
    </row>
    <row r="28" customFormat="false" ht="15" hidden="false" customHeight="false" outlineLevel="0" collapsed="false">
      <c r="A28" s="9" t="s">
        <v>119</v>
      </c>
      <c r="B28" s="15" t="n">
        <f aca="false">B22*10</f>
        <v>765000</v>
      </c>
      <c r="C28" s="15" t="n">
        <f aca="false">C22*10</f>
        <v>510000</v>
      </c>
      <c r="D28" s="10" t="s">
        <v>120</v>
      </c>
    </row>
    <row r="30" customFormat="false" ht="15" hidden="false" customHeight="true" outlineLevel="0" collapsed="false">
      <c r="A30" s="4" t="s">
        <v>121</v>
      </c>
      <c r="B30" s="4"/>
      <c r="C30" s="4"/>
      <c r="D30" s="4"/>
    </row>
    <row r="31" customFormat="false" ht="15" hidden="false" customHeight="true" outlineLevel="0" collapsed="false">
      <c r="A31" s="5" t="s">
        <v>122</v>
      </c>
      <c r="B31" s="5" t="s">
        <v>123</v>
      </c>
      <c r="C31" s="5"/>
      <c r="D31" s="5" t="s">
        <v>86</v>
      </c>
    </row>
    <row r="32" customFormat="false" ht="15" hidden="false" customHeight="true" outlineLevel="0" collapsed="false">
      <c r="A32" s="10" t="s">
        <v>124</v>
      </c>
      <c r="B32" s="16" t="n">
        <v>20</v>
      </c>
      <c r="C32" s="10"/>
      <c r="D32" s="8" t="s">
        <v>125</v>
      </c>
    </row>
    <row r="33" customFormat="false" ht="15" hidden="false" customHeight="true" outlineLevel="0" collapsed="false">
      <c r="A33" s="10" t="s">
        <v>126</v>
      </c>
      <c r="B33" s="16" t="n">
        <v>0.2</v>
      </c>
      <c r="C33" s="10"/>
      <c r="D33" s="8" t="s">
        <v>127</v>
      </c>
    </row>
    <row r="34" customFormat="false" ht="15" hidden="false" customHeight="true" outlineLevel="0" collapsed="false">
      <c r="A34" s="10" t="s">
        <v>128</v>
      </c>
      <c r="B34" s="16" t="n">
        <v>12.5</v>
      </c>
      <c r="C34" s="10"/>
      <c r="D34" s="8" t="s">
        <v>129</v>
      </c>
    </row>
    <row r="35" customFormat="false" ht="15" hidden="false" customHeight="true" outlineLevel="0" collapsed="false">
      <c r="A35" s="10" t="s">
        <v>130</v>
      </c>
      <c r="B35" s="16" t="n">
        <v>238</v>
      </c>
      <c r="C35" s="10"/>
      <c r="D35" s="8" t="s">
        <v>131</v>
      </c>
    </row>
    <row r="36" customFormat="false" ht="27.75" hidden="false" customHeight="true" outlineLevel="0" collapsed="false">
      <c r="A36" s="10" t="s">
        <v>132</v>
      </c>
      <c r="B36" s="16" t="n">
        <v>4</v>
      </c>
      <c r="C36" s="10"/>
      <c r="D36" s="8" t="s">
        <v>133</v>
      </c>
    </row>
    <row r="37" customFormat="false" ht="15" hidden="false" customHeight="true" outlineLevel="0" collapsed="false">
      <c r="A37" s="10" t="s">
        <v>134</v>
      </c>
      <c r="B37" s="16" t="n">
        <v>2500</v>
      </c>
      <c r="C37" s="10"/>
      <c r="D37" s="8" t="s">
        <v>135</v>
      </c>
    </row>
    <row r="38" customFormat="false" ht="15" hidden="false" customHeight="true" outlineLevel="0" collapsed="false">
      <c r="A38" s="10" t="s">
        <v>136</v>
      </c>
      <c r="B38" s="16" t="n">
        <v>15000</v>
      </c>
      <c r="C38" s="10"/>
      <c r="D38" s="8" t="s">
        <v>137</v>
      </c>
    </row>
    <row r="40" customFormat="false" ht="15" hidden="false" customHeight="true" outlineLevel="0" collapsed="false">
      <c r="A40" s="9" t="s">
        <v>138</v>
      </c>
      <c r="B40" s="19" t="n">
        <f aca="false">(B32*B33*93000)+(B34*B35*B32)+(B36*B37)+B38</f>
        <v>456500</v>
      </c>
      <c r="C40" s="10"/>
      <c r="D40" s="10" t="s">
        <v>139</v>
      </c>
    </row>
  </sheetData>
  <mergeCells count="6">
    <mergeCell ref="A2:D2"/>
    <mergeCell ref="A4:D4"/>
    <mergeCell ref="A18:D18"/>
    <mergeCell ref="A26:D26"/>
    <mergeCell ref="A27:D27"/>
    <mergeCell ref="A30:D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10"/>
    <col collapsed="false" customWidth="true" hidden="false" outlineLevel="0" max="4" min="4" style="1" width="46"/>
  </cols>
  <sheetData>
    <row r="1" customFormat="false" ht="17.25" hidden="false" customHeight="true" outlineLevel="0" collapsed="false">
      <c r="A1" s="2" t="s">
        <v>140</v>
      </c>
    </row>
    <row r="2" customFormat="false" ht="39.75" hidden="false" customHeight="true" outlineLevel="0" collapsed="false">
      <c r="A2" s="3" t="s">
        <v>141</v>
      </c>
      <c r="B2" s="3"/>
      <c r="C2" s="3"/>
      <c r="D2" s="3"/>
    </row>
    <row r="4" customFormat="false" ht="15" hidden="false" customHeight="true" outlineLevel="0" collapsed="false">
      <c r="A4" s="4" t="s">
        <v>142</v>
      </c>
      <c r="B4" s="4"/>
      <c r="C4" s="4"/>
      <c r="D4" s="4"/>
    </row>
    <row r="5" customFormat="false" ht="15" hidden="false" customHeight="true" outlineLevel="0" collapsed="false">
      <c r="A5" s="22" t="s">
        <v>143</v>
      </c>
      <c r="B5" s="22"/>
      <c r="C5" s="22"/>
      <c r="D5" s="22"/>
    </row>
    <row r="6" customFormat="false" ht="15" hidden="false" customHeight="true" outlineLevel="0" collapsed="false">
      <c r="A6" s="22" t="s">
        <v>144</v>
      </c>
      <c r="B6" s="22"/>
      <c r="C6" s="22"/>
      <c r="D6" s="22"/>
    </row>
    <row r="7" customFormat="false" ht="15" hidden="false" customHeight="true" outlineLevel="0" collapsed="false">
      <c r="A7" s="22" t="s">
        <v>145</v>
      </c>
      <c r="B7" s="22"/>
      <c r="C7" s="22"/>
      <c r="D7" s="22"/>
    </row>
    <row r="8" customFormat="false" ht="15" hidden="false" customHeight="true" outlineLevel="0" collapsed="false">
      <c r="A8" s="22" t="s">
        <v>146</v>
      </c>
      <c r="B8" s="22"/>
      <c r="C8" s="22"/>
      <c r="D8" s="22"/>
    </row>
    <row r="9" customFormat="false" ht="15" hidden="false" customHeight="true" outlineLevel="0" collapsed="false">
      <c r="A9" s="22" t="s">
        <v>147</v>
      </c>
      <c r="B9" s="22"/>
      <c r="C9" s="22"/>
      <c r="D9" s="22"/>
    </row>
    <row r="10" customFormat="false" ht="15" hidden="false" customHeight="true" outlineLevel="0" collapsed="false">
      <c r="A10" s="22" t="s">
        <v>148</v>
      </c>
      <c r="B10" s="22"/>
      <c r="C10" s="22"/>
      <c r="D10" s="22"/>
    </row>
    <row r="12" customFormat="false" ht="15" hidden="false" customHeight="true" outlineLevel="0" collapsed="false">
      <c r="A12" s="4" t="s">
        <v>149</v>
      </c>
      <c r="B12" s="4"/>
      <c r="C12" s="4"/>
      <c r="D12" s="4"/>
    </row>
    <row r="13" customFormat="false" ht="15" hidden="false" customHeight="true" outlineLevel="0" collapsed="false">
      <c r="A13" s="5" t="s">
        <v>37</v>
      </c>
      <c r="B13" s="5" t="s">
        <v>150</v>
      </c>
      <c r="C13" s="5"/>
      <c r="D13" s="5" t="s">
        <v>151</v>
      </c>
    </row>
    <row r="14" customFormat="false" ht="41.25" hidden="false" customHeight="true" outlineLevel="0" collapsed="false">
      <c r="A14" s="9" t="s">
        <v>152</v>
      </c>
      <c r="B14" s="16" t="n">
        <v>2</v>
      </c>
      <c r="C14" s="10"/>
      <c r="D14" s="8" t="s">
        <v>153</v>
      </c>
    </row>
    <row r="15" customFormat="false" ht="27.75" hidden="false" customHeight="true" outlineLevel="0" collapsed="false">
      <c r="A15" s="9" t="s">
        <v>154</v>
      </c>
      <c r="B15" s="16" t="n">
        <v>2</v>
      </c>
      <c r="C15" s="10"/>
      <c r="D15" s="8" t="s">
        <v>155</v>
      </c>
    </row>
    <row r="16" customFormat="false" ht="15" hidden="false" customHeight="true" outlineLevel="0" collapsed="false">
      <c r="A16" s="9" t="s">
        <v>156</v>
      </c>
      <c r="B16" s="16" t="n">
        <v>1</v>
      </c>
      <c r="C16" s="10"/>
      <c r="D16" s="8" t="s">
        <v>157</v>
      </c>
    </row>
    <row r="17" customFormat="false" ht="27.75" hidden="false" customHeight="true" outlineLevel="0" collapsed="false">
      <c r="A17" s="9" t="s">
        <v>158</v>
      </c>
      <c r="B17" s="16" t="n">
        <v>3</v>
      </c>
      <c r="C17" s="10"/>
      <c r="D17" s="8" t="s">
        <v>159</v>
      </c>
    </row>
    <row r="18" customFormat="false" ht="41.25" hidden="false" customHeight="true" outlineLevel="0" collapsed="false">
      <c r="A18" s="9" t="s">
        <v>160</v>
      </c>
      <c r="B18" s="16" t="n">
        <v>2</v>
      </c>
      <c r="C18" s="10"/>
      <c r="D18" s="8" t="s">
        <v>161</v>
      </c>
    </row>
    <row r="19" customFormat="false" ht="27.75" hidden="false" customHeight="true" outlineLevel="0" collapsed="false">
      <c r="A19" s="9" t="s">
        <v>162</v>
      </c>
      <c r="B19" s="16" t="n">
        <v>1</v>
      </c>
      <c r="C19" s="10"/>
      <c r="D19" s="8" t="s">
        <v>163</v>
      </c>
    </row>
    <row r="20" customFormat="false" ht="15" hidden="false" customHeight="true" outlineLevel="0" collapsed="false">
      <c r="A20" s="9" t="s">
        <v>164</v>
      </c>
      <c r="B20" s="16" t="n">
        <v>1</v>
      </c>
      <c r="C20" s="10"/>
      <c r="D20" s="8" t="s">
        <v>165</v>
      </c>
    </row>
    <row r="21" customFormat="false" ht="27.75" hidden="false" customHeight="true" outlineLevel="0" collapsed="false">
      <c r="A21" s="9" t="s">
        <v>166</v>
      </c>
      <c r="B21" s="16" t="n">
        <v>2</v>
      </c>
      <c r="C21" s="10"/>
      <c r="D21" s="8" t="s">
        <v>167</v>
      </c>
    </row>
    <row r="22" customFormat="false" ht="41.25" hidden="false" customHeight="true" outlineLevel="0" collapsed="false">
      <c r="A22" s="9" t="s">
        <v>168</v>
      </c>
      <c r="B22" s="16" t="n">
        <v>0.8</v>
      </c>
      <c r="C22" s="10"/>
      <c r="D22" s="8" t="s">
        <v>169</v>
      </c>
    </row>
    <row r="24" customFormat="false" ht="15" hidden="false" customHeight="true" outlineLevel="0" collapsed="false">
      <c r="A24" s="23" t="s">
        <v>170</v>
      </c>
      <c r="B24" s="24" t="n">
        <f aca="false">SUM(B14:B21)*B22</f>
        <v>11.2</v>
      </c>
      <c r="C24" s="25"/>
      <c r="D24" s="25" t="s">
        <v>171</v>
      </c>
    </row>
    <row r="26" customFormat="false" ht="15" hidden="false" customHeight="true" outlineLevel="0" collapsed="false">
      <c r="A26" s="4" t="s">
        <v>172</v>
      </c>
      <c r="B26" s="4"/>
      <c r="C26" s="4"/>
      <c r="D26" s="4"/>
    </row>
    <row r="27" customFormat="false" ht="15" hidden="false" customHeight="true" outlineLevel="0" collapsed="false">
      <c r="A27" s="5" t="s">
        <v>37</v>
      </c>
      <c r="B27" s="5" t="s">
        <v>150</v>
      </c>
      <c r="C27" s="5"/>
      <c r="D27" s="5" t="s">
        <v>151</v>
      </c>
    </row>
    <row r="28" customFormat="false" ht="27.75" hidden="false" customHeight="true" outlineLevel="0" collapsed="false">
      <c r="A28" s="9" t="s">
        <v>152</v>
      </c>
      <c r="B28" s="16" t="n">
        <v>6</v>
      </c>
      <c r="C28" s="10"/>
      <c r="D28" s="8" t="s">
        <v>173</v>
      </c>
    </row>
    <row r="29" customFormat="false" ht="15" hidden="false" customHeight="true" outlineLevel="0" collapsed="false">
      <c r="A29" s="9" t="s">
        <v>154</v>
      </c>
      <c r="B29" s="16" t="n">
        <v>5</v>
      </c>
      <c r="C29" s="10"/>
      <c r="D29" s="8" t="s">
        <v>174</v>
      </c>
    </row>
    <row r="30" customFormat="false" ht="41.25" hidden="false" customHeight="true" outlineLevel="0" collapsed="false">
      <c r="A30" s="9" t="s">
        <v>156</v>
      </c>
      <c r="B30" s="16" t="n">
        <v>6</v>
      </c>
      <c r="C30" s="10"/>
      <c r="D30" s="8" t="s">
        <v>175</v>
      </c>
    </row>
    <row r="31" customFormat="false" ht="27.75" hidden="false" customHeight="true" outlineLevel="0" collapsed="false">
      <c r="A31" s="9" t="s">
        <v>158</v>
      </c>
      <c r="B31" s="16" t="n">
        <v>6</v>
      </c>
      <c r="C31" s="10"/>
      <c r="D31" s="8" t="s">
        <v>176</v>
      </c>
    </row>
    <row r="32" customFormat="false" ht="27.75" hidden="false" customHeight="true" outlineLevel="0" collapsed="false">
      <c r="A32" s="9" t="s">
        <v>160</v>
      </c>
      <c r="B32" s="16" t="n">
        <v>7</v>
      </c>
      <c r="C32" s="10"/>
      <c r="D32" s="8" t="s">
        <v>177</v>
      </c>
    </row>
    <row r="33" customFormat="false" ht="27.75" hidden="false" customHeight="true" outlineLevel="0" collapsed="false">
      <c r="A33" s="9" t="s">
        <v>162</v>
      </c>
      <c r="B33" s="16" t="n">
        <v>6</v>
      </c>
      <c r="C33" s="10"/>
      <c r="D33" s="8" t="s">
        <v>178</v>
      </c>
    </row>
    <row r="34" customFormat="false" ht="27.75" hidden="false" customHeight="true" outlineLevel="0" collapsed="false">
      <c r="A34" s="9" t="s">
        <v>164</v>
      </c>
      <c r="B34" s="16" t="n">
        <v>6</v>
      </c>
      <c r="C34" s="10"/>
      <c r="D34" s="8" t="s">
        <v>179</v>
      </c>
    </row>
    <row r="35" customFormat="false" ht="27.75" hidden="false" customHeight="true" outlineLevel="0" collapsed="false">
      <c r="A35" s="9" t="s">
        <v>166</v>
      </c>
      <c r="B35" s="16" t="n">
        <v>6</v>
      </c>
      <c r="C35" s="10"/>
      <c r="D35" s="8" t="s">
        <v>180</v>
      </c>
    </row>
    <row r="36" customFormat="false" ht="27.75" hidden="false" customHeight="true" outlineLevel="0" collapsed="false">
      <c r="A36" s="9" t="s">
        <v>168</v>
      </c>
      <c r="B36" s="16" t="n">
        <v>1</v>
      </c>
      <c r="C36" s="10"/>
      <c r="D36" s="8" t="s">
        <v>181</v>
      </c>
    </row>
    <row r="38" customFormat="false" ht="15" hidden="false" customHeight="true" outlineLevel="0" collapsed="false">
      <c r="A38" s="23" t="s">
        <v>182</v>
      </c>
      <c r="B38" s="24" t="n">
        <f aca="false">SUM(B28:B35)*B36</f>
        <v>48</v>
      </c>
      <c r="C38" s="25"/>
      <c r="D38" s="25" t="s">
        <v>183</v>
      </c>
    </row>
    <row r="40" customFormat="false" ht="15" hidden="false" customHeight="true" outlineLevel="0" collapsed="false">
      <c r="A40" s="4" t="s">
        <v>184</v>
      </c>
      <c r="B40" s="4"/>
      <c r="C40" s="4"/>
      <c r="D40" s="4"/>
    </row>
    <row r="41" customFormat="false" ht="15" hidden="false" customHeight="true" outlineLevel="0" collapsed="false">
      <c r="A41" s="5" t="s">
        <v>103</v>
      </c>
      <c r="B41" s="5" t="s">
        <v>123</v>
      </c>
      <c r="C41" s="5"/>
      <c r="D41" s="5" t="s">
        <v>185</v>
      </c>
    </row>
    <row r="42" customFormat="false" ht="15" hidden="false" customHeight="true" outlineLevel="0" collapsed="false">
      <c r="A42" s="10" t="s">
        <v>186</v>
      </c>
      <c r="B42" s="26" t="n">
        <f aca="false">B38-B24</f>
        <v>36.8</v>
      </c>
      <c r="C42" s="10"/>
      <c r="D42" s="10"/>
    </row>
    <row r="43" customFormat="false" ht="15" hidden="false" customHeight="true" outlineLevel="0" collapsed="false">
      <c r="A43" s="10" t="s">
        <v>187</v>
      </c>
      <c r="B43" s="27" t="n">
        <f aca="false">(B38-B24)/B24</f>
        <v>3.28571428571429</v>
      </c>
      <c r="C43" s="10"/>
      <c r="D43" s="10" t="s">
        <v>188</v>
      </c>
    </row>
    <row r="44" customFormat="false" ht="15" hidden="false" customHeight="true" outlineLevel="0" collapsed="false">
      <c r="A44" s="10" t="s">
        <v>189</v>
      </c>
      <c r="B44" s="10" t="n">
        <v>54</v>
      </c>
      <c r="C44" s="10"/>
      <c r="D44" s="10" t="s">
        <v>190</v>
      </c>
    </row>
    <row r="46" customFormat="false" ht="15" hidden="false" customHeight="true" outlineLevel="0" collapsed="false">
      <c r="A46" s="4" t="s">
        <v>191</v>
      </c>
      <c r="B46" s="4"/>
      <c r="C46" s="4"/>
      <c r="D46" s="4"/>
    </row>
    <row r="47" customFormat="false" ht="15" hidden="false" customHeight="true" outlineLevel="0" collapsed="false">
      <c r="A47" s="5" t="s">
        <v>192</v>
      </c>
      <c r="B47" s="5" t="s">
        <v>123</v>
      </c>
      <c r="C47" s="5"/>
      <c r="D47" s="5" t="s">
        <v>185</v>
      </c>
    </row>
    <row r="48" customFormat="false" ht="15" hidden="false" customHeight="true" outlineLevel="0" collapsed="false">
      <c r="A48" s="10" t="s">
        <v>193</v>
      </c>
      <c r="B48" s="14" t="n">
        <v>10000</v>
      </c>
      <c r="C48" s="10"/>
      <c r="D48" s="10"/>
    </row>
    <row r="49" customFormat="false" ht="15" hidden="false" customHeight="true" outlineLevel="0" collapsed="false">
      <c r="A49" s="10" t="s">
        <v>194</v>
      </c>
      <c r="B49" s="14" t="n">
        <v>9600</v>
      </c>
      <c r="C49" s="10"/>
      <c r="D49" s="10"/>
    </row>
    <row r="50" customFormat="false" ht="15" hidden="false" customHeight="true" outlineLevel="0" collapsed="false">
      <c r="A50" s="10" t="s">
        <v>195</v>
      </c>
      <c r="B50" s="14" t="n">
        <v>18000</v>
      </c>
      <c r="C50" s="10"/>
      <c r="D50" s="10"/>
    </row>
    <row r="51" customFormat="false" ht="15" hidden="false" customHeight="true" outlineLevel="0" collapsed="false">
      <c r="A51" s="10" t="s">
        <v>196</v>
      </c>
      <c r="B51" s="14" t="n">
        <v>12000</v>
      </c>
      <c r="C51" s="10"/>
      <c r="D51" s="10"/>
    </row>
    <row r="52" customFormat="false" ht="15" hidden="false" customHeight="true" outlineLevel="0" collapsed="false">
      <c r="A52" s="10" t="s">
        <v>197</v>
      </c>
      <c r="B52" s="14" t="n">
        <v>24000</v>
      </c>
      <c r="C52" s="10"/>
      <c r="D52" s="10"/>
    </row>
    <row r="53" customFormat="false" ht="15" hidden="false" customHeight="true" outlineLevel="0" collapsed="false">
      <c r="A53" s="9" t="s">
        <v>198</v>
      </c>
      <c r="B53" s="15" t="n">
        <f aca="false">SUM(B48:B52)*0.25</f>
        <v>18400</v>
      </c>
      <c r="C53" s="10"/>
      <c r="D53" s="10" t="s">
        <v>199</v>
      </c>
    </row>
    <row r="54" customFormat="false" ht="15" hidden="false" customHeight="true" outlineLevel="0" collapsed="false">
      <c r="A54" s="9" t="s">
        <v>200</v>
      </c>
      <c r="B54" s="15" t="n">
        <f aca="false">B53*0.75</f>
        <v>13800</v>
      </c>
      <c r="C54" s="10"/>
      <c r="D54" s="10" t="s">
        <v>201</v>
      </c>
    </row>
    <row r="55" customFormat="false" ht="15" hidden="false" customHeight="true" outlineLevel="0" collapsed="false">
      <c r="A55" s="12" t="s">
        <v>202</v>
      </c>
      <c r="B55" s="28" t="n">
        <f aca="false">B53-B54</f>
        <v>4600</v>
      </c>
      <c r="C55" s="29"/>
      <c r="D55" s="29" t="s">
        <v>203</v>
      </c>
    </row>
  </sheetData>
  <mergeCells count="12">
    <mergeCell ref="A2:D2"/>
    <mergeCell ref="A4:D4"/>
    <mergeCell ref="A5:D5"/>
    <mergeCell ref="A6:D6"/>
    <mergeCell ref="A7:D7"/>
    <mergeCell ref="A8:D8"/>
    <mergeCell ref="A9:D9"/>
    <mergeCell ref="A10:D10"/>
    <mergeCell ref="A12:D12"/>
    <mergeCell ref="A26:D26"/>
    <mergeCell ref="A40:D40"/>
    <mergeCell ref="A46:D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2"/>
    <col collapsed="false" customWidth="true" hidden="false" outlineLevel="0" max="3" min="3" style="1" width="10"/>
    <col collapsed="false" customWidth="true" hidden="false" outlineLevel="0" max="5" min="4" style="1" width="14"/>
    <col collapsed="false" customWidth="true" hidden="false" outlineLevel="0" max="6" min="6" style="1" width="40"/>
    <col collapsed="false" customWidth="true" hidden="false" outlineLevel="0" max="14" min="7" style="1" width="6"/>
  </cols>
  <sheetData>
    <row r="1" customFormat="false" ht="17.25" hidden="false" customHeight="true" outlineLevel="0" collapsed="false">
      <c r="A1" s="2" t="s">
        <v>204</v>
      </c>
    </row>
    <row r="2" customFormat="false" ht="54.75" hidden="false" customHeight="true" outlineLevel="0" collapsed="false">
      <c r="A2" s="3" t="s">
        <v>205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4" t="s">
        <v>206</v>
      </c>
      <c r="B4" s="4"/>
      <c r="C4" s="4"/>
      <c r="D4" s="4"/>
      <c r="E4" s="4"/>
      <c r="F4" s="4"/>
    </row>
    <row r="5" customFormat="false" ht="15" hidden="false" customHeight="true" outlineLevel="0" collapsed="false">
      <c r="A5" s="5" t="s">
        <v>207</v>
      </c>
      <c r="B5" s="5" t="s">
        <v>208</v>
      </c>
      <c r="C5" s="5" t="s">
        <v>72</v>
      </c>
      <c r="D5" s="5" t="s">
        <v>209</v>
      </c>
      <c r="E5" s="5" t="s">
        <v>210</v>
      </c>
      <c r="F5" s="5" t="s">
        <v>185</v>
      </c>
    </row>
    <row r="6" customFormat="false" ht="27.75" hidden="false" customHeight="true" outlineLevel="0" collapsed="false">
      <c r="A6" s="9" t="s">
        <v>211</v>
      </c>
      <c r="B6" s="10" t="n">
        <f aca="false">SUM(G6:N6)</f>
        <v>48</v>
      </c>
      <c r="C6" s="16" t="n">
        <v>1</v>
      </c>
      <c r="D6" s="30" t="n">
        <f aca="false">B6*C6</f>
        <v>48</v>
      </c>
      <c r="E6" s="10" t="s">
        <v>212</v>
      </c>
      <c r="F6" s="8" t="s">
        <v>213</v>
      </c>
      <c r="G6" s="18" t="n">
        <v>6</v>
      </c>
      <c r="H6" s="18" t="n">
        <v>5</v>
      </c>
      <c r="I6" s="18" t="n">
        <v>6</v>
      </c>
      <c r="J6" s="18" t="n">
        <v>6</v>
      </c>
      <c r="K6" s="18" t="n">
        <v>7</v>
      </c>
      <c r="L6" s="18" t="n">
        <v>6</v>
      </c>
      <c r="M6" s="18" t="n">
        <v>6</v>
      </c>
      <c r="N6" s="18" t="n">
        <v>6</v>
      </c>
    </row>
    <row r="7" customFormat="false" ht="15" hidden="false" customHeight="true" outlineLevel="0" collapsed="false">
      <c r="A7" s="9" t="s">
        <v>214</v>
      </c>
      <c r="B7" s="10" t="n">
        <f aca="false">SUM(G7:N7)</f>
        <v>55</v>
      </c>
      <c r="C7" s="16" t="n">
        <v>1.1</v>
      </c>
      <c r="D7" s="30" t="n">
        <f aca="false">B7*C7</f>
        <v>60.5</v>
      </c>
      <c r="E7" s="10" t="s">
        <v>215</v>
      </c>
      <c r="F7" s="8" t="s">
        <v>216</v>
      </c>
      <c r="G7" s="18" t="n">
        <v>6</v>
      </c>
      <c r="H7" s="18" t="n">
        <v>6</v>
      </c>
      <c r="I7" s="18" t="n">
        <v>7</v>
      </c>
      <c r="J7" s="18" t="n">
        <v>7</v>
      </c>
      <c r="K7" s="18" t="n">
        <v>8</v>
      </c>
      <c r="L7" s="18" t="n">
        <v>7</v>
      </c>
      <c r="M7" s="18" t="n">
        <v>7</v>
      </c>
      <c r="N7" s="18" t="n">
        <v>7</v>
      </c>
    </row>
    <row r="8" customFormat="false" ht="15" hidden="false" customHeight="true" outlineLevel="0" collapsed="false">
      <c r="A8" s="9" t="s">
        <v>217</v>
      </c>
      <c r="B8" s="10" t="n">
        <f aca="false">SUM(G8:N8)</f>
        <v>59</v>
      </c>
      <c r="C8" s="16" t="n">
        <v>1.15</v>
      </c>
      <c r="D8" s="30" t="n">
        <f aca="false">B8*C8</f>
        <v>67.85</v>
      </c>
      <c r="E8" s="10" t="s">
        <v>218</v>
      </c>
      <c r="F8" s="8" t="s">
        <v>219</v>
      </c>
      <c r="G8" s="18" t="n">
        <v>7</v>
      </c>
      <c r="H8" s="18" t="n">
        <v>7</v>
      </c>
      <c r="I8" s="18" t="n">
        <v>7</v>
      </c>
      <c r="J8" s="18" t="n">
        <v>8</v>
      </c>
      <c r="K8" s="18" t="n">
        <v>8</v>
      </c>
      <c r="L8" s="18" t="n">
        <v>8</v>
      </c>
      <c r="M8" s="18" t="n">
        <v>7</v>
      </c>
      <c r="N8" s="18" t="n">
        <v>7</v>
      </c>
    </row>
    <row r="9" customFormat="false" ht="15" hidden="false" customHeight="true" outlineLevel="0" collapsed="false">
      <c r="A9" s="9" t="s">
        <v>220</v>
      </c>
      <c r="B9" s="10" t="n">
        <f aca="false">SUM(G9:N9)</f>
        <v>64</v>
      </c>
      <c r="C9" s="16" t="n">
        <v>1.2</v>
      </c>
      <c r="D9" s="30" t="n">
        <f aca="false">B9*C9</f>
        <v>76.8</v>
      </c>
      <c r="E9" s="10" t="s">
        <v>221</v>
      </c>
      <c r="F9" s="8" t="s">
        <v>222</v>
      </c>
      <c r="G9" s="18" t="n">
        <v>7</v>
      </c>
      <c r="H9" s="18" t="n">
        <v>8</v>
      </c>
      <c r="I9" s="18" t="n">
        <v>8</v>
      </c>
      <c r="J9" s="18" t="n">
        <v>8</v>
      </c>
      <c r="K9" s="18" t="n">
        <v>9</v>
      </c>
      <c r="L9" s="18" t="n">
        <v>8</v>
      </c>
      <c r="M9" s="18" t="n">
        <v>8</v>
      </c>
      <c r="N9" s="18" t="n">
        <v>8</v>
      </c>
    </row>
    <row r="10" customFormat="false" ht="27.75" hidden="false" customHeight="true" outlineLevel="0" collapsed="false">
      <c r="A10" s="9" t="s">
        <v>223</v>
      </c>
      <c r="B10" s="10" t="n">
        <f aca="false">SUM(G10:N10)</f>
        <v>67</v>
      </c>
      <c r="C10" s="16" t="n">
        <v>1.2</v>
      </c>
      <c r="D10" s="30" t="n">
        <f aca="false">B10*C10</f>
        <v>80.4</v>
      </c>
      <c r="E10" s="10" t="s">
        <v>224</v>
      </c>
      <c r="F10" s="8" t="s">
        <v>225</v>
      </c>
      <c r="G10" s="18" t="n">
        <v>8</v>
      </c>
      <c r="H10" s="18" t="n">
        <v>8</v>
      </c>
      <c r="I10" s="18" t="n">
        <v>8</v>
      </c>
      <c r="J10" s="18" t="n">
        <v>9</v>
      </c>
      <c r="K10" s="18" t="n">
        <v>9</v>
      </c>
      <c r="L10" s="18" t="n">
        <v>9</v>
      </c>
      <c r="M10" s="18" t="n">
        <v>8</v>
      </c>
      <c r="N10" s="18" t="n">
        <v>8</v>
      </c>
    </row>
    <row r="12" customFormat="false" ht="15" hidden="false" customHeight="true" outlineLevel="0" collapsed="false">
      <c r="A12" s="21" t="s">
        <v>226</v>
      </c>
      <c r="B12" s="21"/>
      <c r="C12" s="21"/>
      <c r="D12" s="21"/>
      <c r="E12" s="21"/>
      <c r="F12" s="21"/>
    </row>
    <row r="14" customFormat="false" ht="15" hidden="false" customHeight="true" outlineLevel="0" collapsed="false">
      <c r="A14" s="4" t="s">
        <v>227</v>
      </c>
      <c r="B14" s="4"/>
      <c r="C14" s="4"/>
      <c r="D14" s="4"/>
      <c r="E14" s="4"/>
      <c r="F14" s="4"/>
    </row>
    <row r="15" customFormat="false" ht="27.75" hidden="false" customHeight="true" outlineLevel="0" collapsed="false">
      <c r="A15" s="12" t="s">
        <v>228</v>
      </c>
      <c r="B15" s="13" t="s">
        <v>229</v>
      </c>
      <c r="C15" s="13"/>
      <c r="D15" s="13"/>
      <c r="E15" s="13"/>
      <c r="F15" s="13"/>
    </row>
    <row r="16" customFormat="false" ht="15" hidden="false" customHeight="true" outlineLevel="0" collapsed="false">
      <c r="A16" s="12" t="s">
        <v>228</v>
      </c>
      <c r="B16" s="13" t="s">
        <v>230</v>
      </c>
      <c r="C16" s="13"/>
      <c r="D16" s="13"/>
      <c r="E16" s="13"/>
      <c r="F16" s="13"/>
    </row>
    <row r="17" customFormat="false" ht="27.75" hidden="false" customHeight="true" outlineLevel="0" collapsed="false">
      <c r="A17" s="12" t="s">
        <v>228</v>
      </c>
      <c r="B17" s="13" t="s">
        <v>231</v>
      </c>
      <c r="C17" s="13"/>
      <c r="D17" s="13"/>
      <c r="E17" s="13"/>
      <c r="F17" s="13"/>
    </row>
    <row r="19" customFormat="false" ht="15" hidden="false" customHeight="true" outlineLevel="0" collapsed="false">
      <c r="A19" s="4" t="s">
        <v>232</v>
      </c>
      <c r="B19" s="4"/>
      <c r="C19" s="4"/>
      <c r="D19" s="4"/>
      <c r="E19" s="4"/>
      <c r="F19" s="4"/>
    </row>
    <row r="20" customFormat="false" ht="15" hidden="false" customHeight="true" outlineLevel="0" collapsed="false">
      <c r="A20" s="5" t="s">
        <v>103</v>
      </c>
      <c r="B20" s="5" t="s">
        <v>233</v>
      </c>
      <c r="C20" s="5" t="s">
        <v>234</v>
      </c>
      <c r="D20" s="5"/>
      <c r="E20" s="5"/>
      <c r="F20" s="5"/>
    </row>
    <row r="21" customFormat="false" ht="15" hidden="false" customHeight="true" outlineLevel="0" collapsed="false">
      <c r="A21" s="9" t="s">
        <v>235</v>
      </c>
      <c r="B21" s="31" t="s">
        <v>236</v>
      </c>
      <c r="C21" s="24" t="n">
        <f aca="false">D10</f>
        <v>80.4</v>
      </c>
    </row>
    <row r="22" customFormat="false" ht="15" hidden="false" customHeight="true" outlineLevel="0" collapsed="false">
      <c r="A22" s="9" t="s">
        <v>237</v>
      </c>
      <c r="B22" s="31" t="s">
        <v>238</v>
      </c>
      <c r="C22" s="32" t="n">
        <f aca="false">120000/(D10/25)</f>
        <v>37313.4328358209</v>
      </c>
    </row>
    <row r="23" customFormat="false" ht="15" hidden="false" customHeight="true" outlineLevel="0" collapsed="false">
      <c r="A23" s="9" t="s">
        <v>239</v>
      </c>
      <c r="B23" s="31" t="s">
        <v>240</v>
      </c>
      <c r="C23" s="33" t="n">
        <f aca="false">(120000-(120000/(D10/25)))/120000</f>
        <v>0.689054726368159</v>
      </c>
    </row>
    <row r="24" customFormat="false" ht="15" hidden="false" customHeight="true" outlineLevel="0" collapsed="false">
      <c r="A24" s="9" t="s">
        <v>241</v>
      </c>
      <c r="B24" s="31" t="s">
        <v>242</v>
      </c>
      <c r="C24" s="32" t="n">
        <f aca="false">(120000-(120000/(D10/25)))+65000</f>
        <v>147686.567164179</v>
      </c>
    </row>
    <row r="25" customFormat="false" ht="15" hidden="false" customHeight="true" outlineLevel="0" collapsed="false">
      <c r="A25" s="9" t="s">
        <v>243</v>
      </c>
      <c r="B25" s="31" t="s">
        <v>244</v>
      </c>
      <c r="C25" s="24" t="n">
        <f aca="false">D10-11.2</f>
        <v>69.2</v>
      </c>
    </row>
    <row r="27" customFormat="false" ht="30" hidden="false" customHeight="true" outlineLevel="0" collapsed="false">
      <c r="A27" s="34" t="s">
        <v>245</v>
      </c>
      <c r="B27" s="34"/>
      <c r="C27" s="34"/>
      <c r="D27" s="34"/>
      <c r="E27" s="34"/>
      <c r="F27" s="34"/>
    </row>
    <row r="29" customFormat="false" ht="15" hidden="false" customHeight="false" outlineLevel="0" collapsed="false">
      <c r="A29" s="1" t="s">
        <v>246</v>
      </c>
    </row>
  </sheetData>
  <mergeCells count="9">
    <mergeCell ref="A2:F2"/>
    <mergeCell ref="A4:F4"/>
    <mergeCell ref="A12:F12"/>
    <mergeCell ref="A14:F14"/>
    <mergeCell ref="B15:F15"/>
    <mergeCell ref="B16:F16"/>
    <mergeCell ref="B17:F17"/>
    <mergeCell ref="A19:F19"/>
    <mergeCell ref="A27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2026-08-11T01:33:34Z</dcterms:created>
  <dc:creator>openpyxl</dc:creator>
  <dc:description/>
  <dc:language>en-US</dc:language>
  <cp:lastModifiedBy/>
  <dcterms:modified xsi:type="dcterms:W3CDTF">2026-10-18T06:12:33Z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